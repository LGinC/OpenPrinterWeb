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e\Desktop\开单\"/>
    </mc:Choice>
  </mc:AlternateContent>
  <xr:revisionPtr revIDLastSave="0" documentId="13_ncr:1_{5BC5CAAC-0903-4087-9241-494BF9A3965B}" xr6:coauthVersionLast="47" xr6:coauthVersionMax="47" xr10:uidLastSave="{00000000-0000-0000-0000-000000000000}"/>
  <bookViews>
    <workbookView xWindow="5880" yWindow="1800" windowWidth="11805" windowHeight="135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1" l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M13" i="1"/>
  <c r="L12" i="1"/>
  <c r="M12" i="1" s="1"/>
  <c r="L13" i="1"/>
  <c r="L14" i="1"/>
  <c r="M14" i="1" s="1"/>
  <c r="L15" i="1"/>
  <c r="L16" i="1"/>
  <c r="M16" i="1" s="1"/>
  <c r="L11" i="1"/>
  <c r="M11" i="1"/>
  <c r="L10" i="1"/>
  <c r="M10" i="1" s="1"/>
  <c r="L9" i="1"/>
  <c r="M9" i="1" s="1"/>
  <c r="L8" i="1"/>
  <c r="M8" i="1"/>
  <c r="L7" i="1"/>
  <c r="M7" i="1"/>
  <c r="L6" i="1"/>
  <c r="M6" i="1"/>
  <c r="H7" i="1"/>
  <c r="M2" i="1"/>
  <c r="L3" i="1"/>
  <c r="M3" i="1" s="1"/>
  <c r="L4" i="1"/>
  <c r="M4" i="1" s="1"/>
  <c r="L5" i="1"/>
  <c r="M5" i="1" s="1"/>
  <c r="L2" i="1"/>
  <c r="H3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M15" i="1" l="1"/>
</calcChain>
</file>

<file path=xl/sharedStrings.xml><?xml version="1.0" encoding="utf-8"?>
<sst xmlns="http://schemas.openxmlformats.org/spreadsheetml/2006/main" count="251" uniqueCount="93">
  <si>
    <t>时间</t>
  </si>
  <si>
    <t>款号</t>
  </si>
  <si>
    <t>货号</t>
  </si>
  <si>
    <t>色号</t>
  </si>
  <si>
    <t>米数</t>
  </si>
  <si>
    <t>单位</t>
  </si>
  <si>
    <t>单价</t>
  </si>
  <si>
    <t>金额</t>
  </si>
  <si>
    <t>编号</t>
  </si>
  <si>
    <t>价格</t>
  </si>
  <si>
    <t>利润</t>
  </si>
  <si>
    <t>供应商</t>
  </si>
  <si>
    <t>3286st，1081829</t>
    <phoneticPr fontId="1" type="noConversion"/>
  </si>
  <si>
    <t>140g牛奶丝</t>
    <phoneticPr fontId="1" type="noConversion"/>
  </si>
  <si>
    <t>122#粉</t>
    <phoneticPr fontId="1" type="noConversion"/>
  </si>
  <si>
    <t>kg</t>
    <phoneticPr fontId="1" type="noConversion"/>
  </si>
  <si>
    <t>5450ld，1084181</t>
    <phoneticPr fontId="1" type="noConversion"/>
  </si>
  <si>
    <t>50d绒感</t>
    <phoneticPr fontId="1" type="noConversion"/>
  </si>
  <si>
    <t>255#酒红</t>
    <phoneticPr fontId="1" type="noConversion"/>
  </si>
  <si>
    <t>米</t>
    <phoneticPr fontId="1" type="noConversion"/>
  </si>
  <si>
    <t>6531dr，1086395</t>
    <phoneticPr fontId="1" type="noConversion"/>
  </si>
  <si>
    <t>260#粉</t>
    <phoneticPr fontId="1" type="noConversion"/>
  </si>
  <si>
    <t>6250md首单</t>
    <phoneticPr fontId="1" type="noConversion"/>
  </si>
  <si>
    <t>高弹缎</t>
    <phoneticPr fontId="1" type="noConversion"/>
  </si>
  <si>
    <t>黑</t>
    <phoneticPr fontId="1" type="noConversion"/>
  </si>
  <si>
    <t>锦泰</t>
    <phoneticPr fontId="1" type="noConversion"/>
  </si>
  <si>
    <t>裕明泰</t>
    <phoneticPr fontId="1" type="noConversion"/>
  </si>
  <si>
    <t>新正兴</t>
    <phoneticPr fontId="1" type="noConversion"/>
  </si>
  <si>
    <t>3286st，1088159</t>
    <phoneticPr fontId="1" type="noConversion"/>
  </si>
  <si>
    <t>122#粉</t>
    <phoneticPr fontId="1" type="noConversion"/>
  </si>
  <si>
    <t>kg</t>
    <phoneticPr fontId="1" type="noConversion"/>
  </si>
  <si>
    <t>3286st，1092038</t>
    <phoneticPr fontId="1" type="noConversion"/>
  </si>
  <si>
    <t>3286st备料300</t>
    <phoneticPr fontId="1" type="noConversion"/>
  </si>
  <si>
    <t>扣损3286st，1092038</t>
    <phoneticPr fontId="1" type="noConversion"/>
  </si>
  <si>
    <t>4351md首单</t>
    <phoneticPr fontId="1" type="noConversion"/>
  </si>
  <si>
    <t>75d双面</t>
    <phoneticPr fontId="1" type="noConversion"/>
  </si>
  <si>
    <t>478#咖</t>
    <phoneticPr fontId="1" type="noConversion"/>
  </si>
  <si>
    <t>锦泰</t>
    <phoneticPr fontId="1" type="noConversion"/>
  </si>
  <si>
    <t>城兴</t>
    <phoneticPr fontId="1" type="noConversion"/>
  </si>
  <si>
    <t>64962md，1116398</t>
    <phoneticPr fontId="1" type="noConversion"/>
  </si>
  <si>
    <t>21#</t>
    <phoneticPr fontId="1" type="noConversion"/>
  </si>
  <si>
    <t>6962md，1116398</t>
    <phoneticPr fontId="1" type="noConversion"/>
  </si>
  <si>
    <t>180g牛奶丝</t>
    <phoneticPr fontId="1" type="noConversion"/>
  </si>
  <si>
    <t>138#</t>
    <phoneticPr fontId="1" type="noConversion"/>
  </si>
  <si>
    <t>4423slb，1116377</t>
    <phoneticPr fontId="1" type="noConversion"/>
  </si>
  <si>
    <t>166#兰</t>
    <phoneticPr fontId="1" type="noConversion"/>
  </si>
  <si>
    <t>5622md，1119296</t>
    <phoneticPr fontId="1" type="noConversion"/>
  </si>
  <si>
    <t>咖</t>
    <phoneticPr fontId="1" type="noConversion"/>
  </si>
  <si>
    <t>6250md，1121528</t>
    <phoneticPr fontId="1" type="noConversion"/>
  </si>
  <si>
    <t>0156md，1123010</t>
    <phoneticPr fontId="1" type="noConversion"/>
  </si>
  <si>
    <t>锦泰</t>
  </si>
  <si>
    <t>3532ts,1130585</t>
    <phoneticPr fontId="1" type="noConversion"/>
  </si>
  <si>
    <t>7#</t>
    <phoneticPr fontId="1" type="noConversion"/>
  </si>
  <si>
    <t>3286st,1142024</t>
    <phoneticPr fontId="1" type="noConversion"/>
  </si>
  <si>
    <t>122#粉</t>
    <phoneticPr fontId="1" type="noConversion"/>
  </si>
  <si>
    <t>6024tt首单</t>
    <phoneticPr fontId="1" type="noConversion"/>
  </si>
  <si>
    <t>2#米白</t>
    <phoneticPr fontId="1" type="noConversion"/>
  </si>
  <si>
    <t>6024tt,+1146965</t>
    <phoneticPr fontId="1" type="noConversion"/>
  </si>
  <si>
    <t>黑</t>
    <phoneticPr fontId="1" type="noConversion"/>
  </si>
  <si>
    <t>4351md，1147154</t>
    <phoneticPr fontId="1" type="noConversion"/>
  </si>
  <si>
    <t>478#咖</t>
    <phoneticPr fontId="1" type="noConversion"/>
  </si>
  <si>
    <t>5622md,1153289</t>
    <phoneticPr fontId="1" type="noConversion"/>
  </si>
  <si>
    <t>咖</t>
    <phoneticPr fontId="1" type="noConversion"/>
  </si>
  <si>
    <t>kg</t>
    <phoneticPr fontId="1" type="noConversion"/>
  </si>
  <si>
    <t>32865st，1258713</t>
    <phoneticPr fontId="1" type="noConversion"/>
  </si>
  <si>
    <t>122#粉</t>
    <phoneticPr fontId="1" type="noConversion"/>
  </si>
  <si>
    <t>米</t>
    <phoneticPr fontId="1" type="noConversion"/>
  </si>
  <si>
    <t>5450ld，1162841</t>
    <phoneticPr fontId="1" type="noConversion"/>
  </si>
  <si>
    <t>50d绒感</t>
    <phoneticPr fontId="1" type="noConversion"/>
  </si>
  <si>
    <t>255#</t>
    <phoneticPr fontId="1" type="noConversion"/>
  </si>
  <si>
    <t>5450ld，1162841补单</t>
    <phoneticPr fontId="1" type="noConversion"/>
  </si>
  <si>
    <t>1692md，1164110</t>
    <phoneticPr fontId="1" type="noConversion"/>
  </si>
  <si>
    <t>488#兰</t>
    <phoneticPr fontId="1" type="noConversion"/>
  </si>
  <si>
    <t>6962md，1165388</t>
    <phoneticPr fontId="1" type="noConversion"/>
  </si>
  <si>
    <t>21#</t>
    <phoneticPr fontId="1" type="noConversion"/>
  </si>
  <si>
    <t>138#</t>
    <phoneticPr fontId="1" type="noConversion"/>
  </si>
  <si>
    <t>32865st，1166375</t>
    <phoneticPr fontId="1" type="noConversion"/>
  </si>
  <si>
    <t>3114md,1185926</t>
    <phoneticPr fontId="1" type="noConversion"/>
  </si>
  <si>
    <t>75d双面</t>
    <phoneticPr fontId="1" type="noConversion"/>
  </si>
  <si>
    <t>黑</t>
    <phoneticPr fontId="1" type="noConversion"/>
  </si>
  <si>
    <t>7610ld,1185860</t>
    <phoneticPr fontId="1" type="noConversion"/>
  </si>
  <si>
    <t>高弹缎</t>
    <phoneticPr fontId="1" type="noConversion"/>
  </si>
  <si>
    <t>7771ds,1189691</t>
    <phoneticPr fontId="1" type="noConversion"/>
  </si>
  <si>
    <t>162#兰</t>
    <phoneticPr fontId="1" type="noConversion"/>
  </si>
  <si>
    <t>50d</t>
    <phoneticPr fontId="1" type="noConversion"/>
  </si>
  <si>
    <t>4765JA,1195655</t>
    <phoneticPr fontId="1" type="noConversion"/>
  </si>
  <si>
    <t>hj238</t>
    <phoneticPr fontId="1" type="noConversion"/>
  </si>
  <si>
    <t>82#咖</t>
    <phoneticPr fontId="1" type="noConversion"/>
  </si>
  <si>
    <t>1610JP,1193609</t>
    <phoneticPr fontId="1" type="noConversion"/>
  </si>
  <si>
    <t>HJ20</t>
    <phoneticPr fontId="1" type="noConversion"/>
  </si>
  <si>
    <t>39#绣红</t>
    <phoneticPr fontId="1" type="noConversion"/>
  </si>
  <si>
    <t>4765JA,1196657</t>
    <phoneticPr fontId="1" type="noConversion"/>
  </si>
  <si>
    <t>HJ238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</si>
</sst>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left"/>
    </xf>
    <xf numFmtId="49" fontId="0" fillId="0" borderId="0" xfId="0" applyNumberFormat="1" applyAlignment="1">
      <alignment horizontal="left" shrinkToFit="1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176" fontId="0" fillId="0" borderId="0" xfId="0" applyNumberFormat="1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15" workbookViewId="0">
      <selection activeCell="H36" sqref="H36:H41"/>
    </sheetView>
  </sheetViews>
  <sheetFormatPr defaultRowHeight="14.25" x14ac:dyDescent="0.2"/>
  <cols>
    <col min="1" max="1" width="9" style="5"/>
    <col min="2" max="2" width="17.75" customWidth="1"/>
  </cols>
  <sheetData>
    <row r="1" spans="1:14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</v>
      </c>
      <c r="K1" s="3" t="s">
        <v>9</v>
      </c>
      <c r="L1" s="3" t="s">
        <v>7</v>
      </c>
      <c r="M1" s="3" t="s">
        <v>10</v>
      </c>
      <c r="N1" s="3" t="s">
        <v>11</v>
      </c>
    </row>
    <row r="2" spans="1:14" x14ac:dyDescent="0.2">
      <c r="A2" s="5">
        <v>45699</v>
      </c>
      <c r="B2" t="s">
        <v>12</v>
      </c>
      <c r="C2" t="s">
        <v>13</v>
      </c>
      <c r="D2" t="s">
        <v>14</v>
      </c>
      <c r="E2">
        <v>23.4</v>
      </c>
      <c r="F2" t="s">
        <v>15</v>
      </c>
      <c r="G2">
        <v>27.5</v>
      </c>
      <c r="H2">
        <f>E2*G2</f>
        <v>643.5</v>
      </c>
      <c r="I2" t="s">
        <v>13</v>
      </c>
      <c r="J2">
        <v>23.4</v>
      </c>
      <c r="K2">
        <v>21</v>
      </c>
      <c r="L2">
        <f>J2*K2</f>
        <v>491.4</v>
      </c>
      <c r="M2">
        <f>H2-L2</f>
        <v>152.10000000000002</v>
      </c>
      <c r="N2" t="s">
        <v>25</v>
      </c>
    </row>
    <row r="3" spans="1:14" x14ac:dyDescent="0.2">
      <c r="A3" s="5">
        <v>45709</v>
      </c>
      <c r="B3" t="s">
        <v>16</v>
      </c>
      <c r="C3" t="s">
        <v>17</v>
      </c>
      <c r="D3" t="s">
        <v>18</v>
      </c>
      <c r="E3">
        <v>47</v>
      </c>
      <c r="F3" t="s">
        <v>19</v>
      </c>
      <c r="G3">
        <v>3.5</v>
      </c>
      <c r="H3">
        <f t="shared" ref="H3:H66" si="0">E3*G3</f>
        <v>164.5</v>
      </c>
      <c r="I3" t="s">
        <v>17</v>
      </c>
      <c r="J3">
        <v>51</v>
      </c>
      <c r="K3">
        <v>2.8</v>
      </c>
      <c r="L3">
        <f t="shared" ref="L3:L16" si="1">J3*K3</f>
        <v>142.79999999999998</v>
      </c>
      <c r="M3">
        <f t="shared" ref="M3:M16" si="2">H3-L3</f>
        <v>21.700000000000017</v>
      </c>
      <c r="N3" t="s">
        <v>26</v>
      </c>
    </row>
    <row r="4" spans="1:14" x14ac:dyDescent="0.2">
      <c r="A4" s="5">
        <v>45715</v>
      </c>
      <c r="B4" t="s">
        <v>20</v>
      </c>
      <c r="C4" t="s">
        <v>17</v>
      </c>
      <c r="D4" t="s">
        <v>21</v>
      </c>
      <c r="E4">
        <v>105</v>
      </c>
      <c r="F4" t="s">
        <v>19</v>
      </c>
      <c r="G4">
        <v>3.5</v>
      </c>
      <c r="H4">
        <f t="shared" si="0"/>
        <v>367.5</v>
      </c>
      <c r="I4" t="s">
        <v>17</v>
      </c>
      <c r="J4">
        <v>109</v>
      </c>
      <c r="K4">
        <v>2.8</v>
      </c>
      <c r="L4">
        <f t="shared" si="1"/>
        <v>305.2</v>
      </c>
      <c r="M4">
        <f t="shared" si="2"/>
        <v>62.300000000000011</v>
      </c>
      <c r="N4" t="s">
        <v>26</v>
      </c>
    </row>
    <row r="5" spans="1:14" x14ac:dyDescent="0.2">
      <c r="A5" s="5">
        <v>45716</v>
      </c>
      <c r="B5" t="s">
        <v>22</v>
      </c>
      <c r="C5" t="s">
        <v>23</v>
      </c>
      <c r="D5" t="s">
        <v>24</v>
      </c>
      <c r="E5">
        <v>220</v>
      </c>
      <c r="F5" t="s">
        <v>19</v>
      </c>
      <c r="G5">
        <v>7.7</v>
      </c>
      <c r="H5">
        <f t="shared" si="0"/>
        <v>1694</v>
      </c>
      <c r="I5" t="s">
        <v>23</v>
      </c>
      <c r="J5">
        <v>244</v>
      </c>
      <c r="K5">
        <v>5.6</v>
      </c>
      <c r="L5">
        <f t="shared" si="1"/>
        <v>1366.3999999999999</v>
      </c>
      <c r="M5">
        <f t="shared" si="2"/>
        <v>327.60000000000014</v>
      </c>
      <c r="N5" t="s">
        <v>27</v>
      </c>
    </row>
    <row r="6" spans="1:14" x14ac:dyDescent="0.2">
      <c r="A6" s="5">
        <v>45722</v>
      </c>
      <c r="B6" t="s">
        <v>28</v>
      </c>
      <c r="C6" t="s">
        <v>13</v>
      </c>
      <c r="D6" t="s">
        <v>29</v>
      </c>
      <c r="E6">
        <v>24.2</v>
      </c>
      <c r="F6" t="s">
        <v>30</v>
      </c>
      <c r="G6">
        <v>27.5</v>
      </c>
      <c r="H6">
        <f t="shared" si="0"/>
        <v>665.5</v>
      </c>
      <c r="I6" t="s">
        <v>13</v>
      </c>
      <c r="J6">
        <v>24.2</v>
      </c>
      <c r="K6">
        <v>21</v>
      </c>
      <c r="L6">
        <f t="shared" si="1"/>
        <v>508.2</v>
      </c>
      <c r="M6">
        <f t="shared" si="2"/>
        <v>157.30000000000001</v>
      </c>
      <c r="N6" t="s">
        <v>25</v>
      </c>
    </row>
    <row r="7" spans="1:14" x14ac:dyDescent="0.2">
      <c r="A7" s="5">
        <v>45728</v>
      </c>
      <c r="B7" t="s">
        <v>31</v>
      </c>
      <c r="C7" t="s">
        <v>13</v>
      </c>
      <c r="D7" t="s">
        <v>29</v>
      </c>
      <c r="E7">
        <v>24.2</v>
      </c>
      <c r="F7" t="s">
        <v>30</v>
      </c>
      <c r="G7">
        <v>27.5</v>
      </c>
      <c r="H7">
        <f t="shared" si="0"/>
        <v>665.5</v>
      </c>
      <c r="I7" t="s">
        <v>13</v>
      </c>
      <c r="J7">
        <v>24.2</v>
      </c>
      <c r="K7">
        <v>21</v>
      </c>
      <c r="L7">
        <f t="shared" si="1"/>
        <v>508.2</v>
      </c>
      <c r="M7">
        <f t="shared" si="2"/>
        <v>157.30000000000001</v>
      </c>
      <c r="N7" t="s">
        <v>37</v>
      </c>
    </row>
    <row r="8" spans="1:14" x14ac:dyDescent="0.2">
      <c r="A8" s="5">
        <v>45729</v>
      </c>
      <c r="B8" t="s">
        <v>32</v>
      </c>
      <c r="C8" t="s">
        <v>13</v>
      </c>
      <c r="D8" t="s">
        <v>29</v>
      </c>
      <c r="E8">
        <v>22</v>
      </c>
      <c r="F8" t="s">
        <v>30</v>
      </c>
      <c r="G8">
        <v>27.5</v>
      </c>
      <c r="H8">
        <f t="shared" si="0"/>
        <v>605</v>
      </c>
      <c r="I8" t="s">
        <v>13</v>
      </c>
      <c r="J8">
        <v>24.2</v>
      </c>
      <c r="K8">
        <v>21</v>
      </c>
      <c r="L8">
        <f t="shared" si="1"/>
        <v>508.2</v>
      </c>
      <c r="M8">
        <f t="shared" si="2"/>
        <v>96.800000000000011</v>
      </c>
      <c r="N8" t="s">
        <v>37</v>
      </c>
    </row>
    <row r="9" spans="1:14" x14ac:dyDescent="0.2">
      <c r="A9" s="5">
        <v>45729</v>
      </c>
      <c r="B9" t="s">
        <v>33</v>
      </c>
      <c r="C9" t="s">
        <v>13</v>
      </c>
      <c r="D9" t="s">
        <v>29</v>
      </c>
      <c r="E9">
        <v>-2.2000000000000002</v>
      </c>
      <c r="F9" t="s">
        <v>30</v>
      </c>
      <c r="G9">
        <v>27.5</v>
      </c>
      <c r="H9">
        <f t="shared" si="0"/>
        <v>-60.500000000000007</v>
      </c>
      <c r="I9" t="s">
        <v>13</v>
      </c>
      <c r="J9">
        <v>-2.2000000000000002</v>
      </c>
      <c r="K9">
        <v>21</v>
      </c>
      <c r="L9">
        <f t="shared" si="1"/>
        <v>-46.2</v>
      </c>
      <c r="M9">
        <f t="shared" si="2"/>
        <v>-14.300000000000004</v>
      </c>
      <c r="N9" t="s">
        <v>37</v>
      </c>
    </row>
    <row r="10" spans="1:14" x14ac:dyDescent="0.2">
      <c r="A10" s="5">
        <v>45743</v>
      </c>
      <c r="B10" t="s">
        <v>34</v>
      </c>
      <c r="C10" t="s">
        <v>35</v>
      </c>
      <c r="D10" t="s">
        <v>36</v>
      </c>
      <c r="E10">
        <v>13.6</v>
      </c>
      <c r="F10" t="s">
        <v>30</v>
      </c>
      <c r="G10">
        <v>17.5</v>
      </c>
      <c r="H10">
        <f t="shared" si="0"/>
        <v>238</v>
      </c>
      <c r="I10" t="s">
        <v>35</v>
      </c>
      <c r="J10">
        <v>17.600000000000001</v>
      </c>
      <c r="K10">
        <v>11.3</v>
      </c>
      <c r="L10">
        <f t="shared" si="1"/>
        <v>198.88000000000002</v>
      </c>
      <c r="M10">
        <f t="shared" si="2"/>
        <v>39.119999999999976</v>
      </c>
      <c r="N10" t="s">
        <v>38</v>
      </c>
    </row>
    <row r="11" spans="1:14" x14ac:dyDescent="0.2">
      <c r="A11" s="5">
        <v>45764</v>
      </c>
      <c r="B11" t="s">
        <v>39</v>
      </c>
      <c r="C11" t="s">
        <v>17</v>
      </c>
      <c r="D11" t="s">
        <v>40</v>
      </c>
      <c r="E11">
        <v>48</v>
      </c>
      <c r="F11" t="s">
        <v>19</v>
      </c>
      <c r="G11">
        <v>3.5</v>
      </c>
      <c r="H11">
        <f t="shared" si="0"/>
        <v>168</v>
      </c>
      <c r="I11" t="s">
        <v>17</v>
      </c>
      <c r="J11">
        <v>51</v>
      </c>
      <c r="K11">
        <v>2.8</v>
      </c>
      <c r="L11">
        <f t="shared" si="1"/>
        <v>142.79999999999998</v>
      </c>
      <c r="M11">
        <f t="shared" si="2"/>
        <v>25.200000000000017</v>
      </c>
      <c r="N11" t="s">
        <v>26</v>
      </c>
    </row>
    <row r="12" spans="1:14" x14ac:dyDescent="0.2">
      <c r="B12" t="s">
        <v>41</v>
      </c>
      <c r="C12" t="s">
        <v>42</v>
      </c>
      <c r="D12" t="s">
        <v>43</v>
      </c>
      <c r="E12">
        <v>18</v>
      </c>
      <c r="F12" t="s">
        <v>19</v>
      </c>
      <c r="G12">
        <v>15</v>
      </c>
      <c r="H12">
        <f t="shared" si="0"/>
        <v>270</v>
      </c>
      <c r="I12" t="s">
        <v>42</v>
      </c>
      <c r="J12">
        <v>6.5</v>
      </c>
      <c r="K12">
        <v>27</v>
      </c>
      <c r="L12">
        <f t="shared" si="1"/>
        <v>175.5</v>
      </c>
      <c r="M12">
        <f t="shared" si="2"/>
        <v>94.5</v>
      </c>
      <c r="N12" t="s">
        <v>50</v>
      </c>
    </row>
    <row r="13" spans="1:14" x14ac:dyDescent="0.2">
      <c r="B13" t="s">
        <v>44</v>
      </c>
      <c r="C13" t="s">
        <v>17</v>
      </c>
      <c r="D13" t="s">
        <v>45</v>
      </c>
      <c r="E13">
        <v>33</v>
      </c>
      <c r="F13" t="s">
        <v>19</v>
      </c>
      <c r="G13">
        <v>3.5</v>
      </c>
      <c r="H13">
        <f t="shared" si="0"/>
        <v>115.5</v>
      </c>
      <c r="I13" t="s">
        <v>17</v>
      </c>
      <c r="J13">
        <v>36</v>
      </c>
      <c r="K13">
        <v>2.8</v>
      </c>
      <c r="L13">
        <f t="shared" si="1"/>
        <v>100.8</v>
      </c>
      <c r="M13">
        <f t="shared" si="2"/>
        <v>14.700000000000003</v>
      </c>
      <c r="N13" t="s">
        <v>26</v>
      </c>
    </row>
    <row r="14" spans="1:14" x14ac:dyDescent="0.2">
      <c r="A14" s="5">
        <v>45765</v>
      </c>
      <c r="B14" t="s">
        <v>46</v>
      </c>
      <c r="C14" t="s">
        <v>35</v>
      </c>
      <c r="D14" t="s">
        <v>47</v>
      </c>
      <c r="E14">
        <v>17.3</v>
      </c>
      <c r="F14" t="s">
        <v>15</v>
      </c>
      <c r="G14">
        <v>17.5</v>
      </c>
      <c r="H14">
        <f t="shared" si="0"/>
        <v>302.75</v>
      </c>
      <c r="I14" t="s">
        <v>35</v>
      </c>
      <c r="J14">
        <v>21.3</v>
      </c>
      <c r="K14">
        <v>11.3</v>
      </c>
      <c r="L14">
        <f t="shared" si="1"/>
        <v>240.69000000000003</v>
      </c>
      <c r="M14">
        <f t="shared" si="2"/>
        <v>62.059999999999974</v>
      </c>
      <c r="N14" t="s">
        <v>38</v>
      </c>
    </row>
    <row r="15" spans="1:14" x14ac:dyDescent="0.2">
      <c r="A15" s="5">
        <v>45769</v>
      </c>
      <c r="B15" t="s">
        <v>48</v>
      </c>
      <c r="C15" t="s">
        <v>23</v>
      </c>
      <c r="D15" t="s">
        <v>24</v>
      </c>
      <c r="E15">
        <v>285</v>
      </c>
      <c r="F15" t="s">
        <v>19</v>
      </c>
      <c r="G15">
        <v>7.7</v>
      </c>
      <c r="H15">
        <f t="shared" si="0"/>
        <v>2194.5</v>
      </c>
      <c r="I15" t="s">
        <v>23</v>
      </c>
      <c r="J15">
        <v>323</v>
      </c>
      <c r="K15">
        <v>5.6</v>
      </c>
      <c r="L15">
        <f t="shared" si="1"/>
        <v>1808.8</v>
      </c>
      <c r="M15">
        <f t="shared" si="2"/>
        <v>385.70000000000005</v>
      </c>
      <c r="N15" t="s">
        <v>27</v>
      </c>
    </row>
    <row r="16" spans="1:14" x14ac:dyDescent="0.2">
      <c r="A16" s="5">
        <v>45770</v>
      </c>
      <c r="B16" t="s">
        <v>49</v>
      </c>
      <c r="C16" t="s">
        <v>17</v>
      </c>
      <c r="D16" t="s">
        <v>21</v>
      </c>
      <c r="E16">
        <v>55</v>
      </c>
      <c r="F16" t="s">
        <v>19</v>
      </c>
      <c r="G16">
        <v>3.5</v>
      </c>
      <c r="H16">
        <f t="shared" si="0"/>
        <v>192.5</v>
      </c>
      <c r="I16" t="s">
        <v>17</v>
      </c>
      <c r="J16">
        <v>59</v>
      </c>
      <c r="K16">
        <v>2.8</v>
      </c>
      <c r="L16">
        <f t="shared" si="1"/>
        <v>165.2</v>
      </c>
      <c r="M16">
        <f t="shared" si="2"/>
        <v>27.300000000000011</v>
      </c>
      <c r="N16" t="s">
        <v>26</v>
      </c>
    </row>
    <row r="17" spans="1:9" x14ac:dyDescent="0.2">
      <c r="A17" s="5">
        <v>45780</v>
      </c>
      <c r="B17" t="s">
        <v>51</v>
      </c>
      <c r="C17" t="s">
        <v>17</v>
      </c>
      <c r="D17" t="s">
        <v>52</v>
      </c>
      <c r="E17">
        <v>55</v>
      </c>
      <c r="F17" t="s">
        <v>19</v>
      </c>
      <c r="G17">
        <v>3.5</v>
      </c>
      <c r="H17">
        <f t="shared" si="0"/>
        <v>192.5</v>
      </c>
      <c r="I17" t="s">
        <v>17</v>
      </c>
    </row>
    <row r="18" spans="1:9" x14ac:dyDescent="0.2">
      <c r="A18" s="5">
        <v>45795</v>
      </c>
      <c r="B18" t="s">
        <v>53</v>
      </c>
      <c r="C18" t="s">
        <v>13</v>
      </c>
      <c r="D18" t="s">
        <v>54</v>
      </c>
      <c r="E18">
        <v>21.8</v>
      </c>
      <c r="F18" t="s">
        <v>15</v>
      </c>
      <c r="G18">
        <v>27.5</v>
      </c>
      <c r="H18">
        <f t="shared" si="0"/>
        <v>599.5</v>
      </c>
      <c r="I18" t="s">
        <v>13</v>
      </c>
    </row>
    <row r="19" spans="1:9" x14ac:dyDescent="0.2">
      <c r="A19" s="5">
        <v>45797</v>
      </c>
      <c r="B19" t="s">
        <v>55</v>
      </c>
      <c r="C19" t="s">
        <v>13</v>
      </c>
      <c r="D19" t="s">
        <v>56</v>
      </c>
      <c r="E19">
        <v>40</v>
      </c>
      <c r="F19" t="s">
        <v>19</v>
      </c>
      <c r="G19">
        <v>15</v>
      </c>
      <c r="H19">
        <f t="shared" si="0"/>
        <v>600</v>
      </c>
      <c r="I19" t="s">
        <v>13</v>
      </c>
    </row>
    <row r="20" spans="1:9" x14ac:dyDescent="0.2">
      <c r="A20" s="5">
        <v>45801</v>
      </c>
      <c r="B20" t="s">
        <v>57</v>
      </c>
      <c r="C20" t="s">
        <v>13</v>
      </c>
      <c r="D20" t="s">
        <v>58</v>
      </c>
      <c r="E20">
        <v>46</v>
      </c>
      <c r="F20" t="s">
        <v>19</v>
      </c>
      <c r="G20">
        <v>15</v>
      </c>
      <c r="H20">
        <f t="shared" si="0"/>
        <v>690</v>
      </c>
      <c r="I20" t="s">
        <v>13</v>
      </c>
    </row>
    <row r="21" spans="1:9" x14ac:dyDescent="0.2">
      <c r="A21" s="5">
        <v>45802</v>
      </c>
      <c r="B21" t="s">
        <v>59</v>
      </c>
      <c r="C21" t="s">
        <v>35</v>
      </c>
      <c r="D21" t="s">
        <v>60</v>
      </c>
      <c r="E21">
        <v>34.299999999999997</v>
      </c>
      <c r="F21" t="s">
        <v>15</v>
      </c>
      <c r="G21">
        <v>17.5</v>
      </c>
      <c r="H21">
        <f t="shared" si="0"/>
        <v>600.25</v>
      </c>
      <c r="I21" t="s">
        <v>35</v>
      </c>
    </row>
    <row r="22" spans="1:9" x14ac:dyDescent="0.2">
      <c r="A22" s="5">
        <v>45810</v>
      </c>
      <c r="B22" t="s">
        <v>61</v>
      </c>
      <c r="C22" t="s">
        <v>35</v>
      </c>
      <c r="D22" t="s">
        <v>62</v>
      </c>
      <c r="E22">
        <v>17.2</v>
      </c>
      <c r="F22" t="s">
        <v>63</v>
      </c>
      <c r="G22">
        <v>17.5</v>
      </c>
      <c r="H22">
        <f t="shared" si="0"/>
        <v>301</v>
      </c>
    </row>
    <row r="23" spans="1:9" x14ac:dyDescent="0.2">
      <c r="A23" s="5">
        <v>45815</v>
      </c>
      <c r="B23" t="s">
        <v>64</v>
      </c>
      <c r="C23" t="s">
        <v>13</v>
      </c>
      <c r="D23" t="s">
        <v>65</v>
      </c>
      <c r="E23">
        <v>26</v>
      </c>
      <c r="F23" t="s">
        <v>66</v>
      </c>
      <c r="G23">
        <v>15</v>
      </c>
      <c r="H23">
        <f t="shared" si="0"/>
        <v>390</v>
      </c>
    </row>
    <row r="24" spans="1:9" x14ac:dyDescent="0.2">
      <c r="A24" s="5">
        <v>45822</v>
      </c>
      <c r="B24" t="s">
        <v>67</v>
      </c>
      <c r="C24" t="s">
        <v>68</v>
      </c>
      <c r="D24" t="s">
        <v>69</v>
      </c>
      <c r="E24">
        <v>66</v>
      </c>
      <c r="F24" t="s">
        <v>66</v>
      </c>
      <c r="G24">
        <v>3.5</v>
      </c>
      <c r="H24">
        <f t="shared" si="0"/>
        <v>231</v>
      </c>
    </row>
    <row r="25" spans="1:9" x14ac:dyDescent="0.2">
      <c r="A25" s="5">
        <v>45824</v>
      </c>
      <c r="B25" t="s">
        <v>70</v>
      </c>
      <c r="C25" t="s">
        <v>17</v>
      </c>
      <c r="D25" t="s">
        <v>69</v>
      </c>
      <c r="E25">
        <v>6</v>
      </c>
      <c r="F25" t="s">
        <v>66</v>
      </c>
      <c r="G25">
        <v>7</v>
      </c>
      <c r="H25">
        <f t="shared" si="0"/>
        <v>42</v>
      </c>
    </row>
    <row r="26" spans="1:9" x14ac:dyDescent="0.2">
      <c r="A26" s="5">
        <v>45826</v>
      </c>
      <c r="B26" t="s">
        <v>71</v>
      </c>
      <c r="C26" t="s">
        <v>68</v>
      </c>
      <c r="D26" t="s">
        <v>72</v>
      </c>
      <c r="E26">
        <v>9</v>
      </c>
      <c r="F26" t="s">
        <v>66</v>
      </c>
      <c r="G26">
        <v>7</v>
      </c>
      <c r="H26">
        <f t="shared" si="0"/>
        <v>63</v>
      </c>
    </row>
    <row r="27" spans="1:9" x14ac:dyDescent="0.2">
      <c r="B27" t="s">
        <v>73</v>
      </c>
      <c r="C27" t="s">
        <v>17</v>
      </c>
      <c r="D27" t="s">
        <v>74</v>
      </c>
      <c r="E27">
        <v>47</v>
      </c>
      <c r="F27" t="s">
        <v>66</v>
      </c>
      <c r="G27">
        <v>3.5</v>
      </c>
      <c r="H27">
        <f t="shared" si="0"/>
        <v>164.5</v>
      </c>
    </row>
    <row r="28" spans="1:9" x14ac:dyDescent="0.2">
      <c r="B28" t="s">
        <v>73</v>
      </c>
      <c r="C28" t="s">
        <v>42</v>
      </c>
      <c r="D28" t="s">
        <v>75</v>
      </c>
      <c r="E28">
        <v>18</v>
      </c>
      <c r="F28" t="s">
        <v>66</v>
      </c>
      <c r="G28">
        <v>15</v>
      </c>
      <c r="H28">
        <f t="shared" si="0"/>
        <v>270</v>
      </c>
    </row>
    <row r="29" spans="1:9" x14ac:dyDescent="0.2">
      <c r="A29" s="5">
        <v>45828</v>
      </c>
      <c r="B29" t="s">
        <v>76</v>
      </c>
      <c r="C29" t="s">
        <v>13</v>
      </c>
      <c r="D29" t="s">
        <v>65</v>
      </c>
      <c r="E29">
        <v>20</v>
      </c>
      <c r="F29" t="s">
        <v>66</v>
      </c>
      <c r="G29">
        <v>15</v>
      </c>
      <c r="H29">
        <f t="shared" si="0"/>
        <v>300</v>
      </c>
    </row>
    <row r="30" spans="1:9" x14ac:dyDescent="0.2">
      <c r="F30" t="s">
        <v>66</v>
      </c>
      <c r="H30">
        <f t="shared" si="0"/>
        <v>0</v>
      </c>
    </row>
    <row r="31" spans="1:9" x14ac:dyDescent="0.2">
      <c r="F31" t="s">
        <v>66</v>
      </c>
      <c r="H31">
        <f t="shared" si="0"/>
        <v>0</v>
      </c>
    </row>
    <row r="32" spans="1:9" x14ac:dyDescent="0.2">
      <c r="F32" t="s">
        <v>66</v>
      </c>
      <c r="H32">
        <f t="shared" si="0"/>
        <v>0</v>
      </c>
    </row>
    <row r="33" spans="1:8" x14ac:dyDescent="0.2">
      <c r="F33" t="s">
        <v>66</v>
      </c>
      <c r="H33">
        <f t="shared" si="0"/>
        <v>0</v>
      </c>
    </row>
    <row r="34" spans="1:8" x14ac:dyDescent="0.2">
      <c r="F34" t="s">
        <v>66</v>
      </c>
      <c r="H34">
        <f t="shared" si="0"/>
        <v>0</v>
      </c>
    </row>
    <row r="35" spans="1:8" x14ac:dyDescent="0.2">
      <c r="F35" t="s">
        <v>66</v>
      </c>
      <c r="H35">
        <f t="shared" si="0"/>
        <v>0</v>
      </c>
    </row>
    <row r="36" spans="1:8" x14ac:dyDescent="0.2">
      <c r="A36" s="5">
        <v>45882</v>
      </c>
      <c r="B36" t="s">
        <v>77</v>
      </c>
      <c r="C36" t="s">
        <v>78</v>
      </c>
      <c r="D36" t="s">
        <v>79</v>
      </c>
      <c r="E36">
        <v>17.600000000000001</v>
      </c>
      <c r="F36" t="s">
        <v>15</v>
      </c>
      <c r="G36">
        <v>17.5</v>
      </c>
      <c r="H36">
        <f t="shared" si="0"/>
        <v>308</v>
      </c>
    </row>
    <row r="37" spans="1:8" x14ac:dyDescent="0.2">
      <c r="B37" s="5" t="s">
        <v>80</v>
      </c>
      <c r="C37" t="s">
        <v>81</v>
      </c>
      <c r="D37" t="s">
        <v>79</v>
      </c>
      <c r="E37">
        <v>133</v>
      </c>
      <c r="F37" t="s">
        <v>66</v>
      </c>
      <c r="G37">
        <v>7.7</v>
      </c>
      <c r="H37">
        <f t="shared" si="0"/>
        <v>1024.1000000000001</v>
      </c>
    </row>
    <row r="38" spans="1:8" x14ac:dyDescent="0.2">
      <c r="A38" s="5">
        <v>45888</v>
      </c>
      <c r="B38" t="s">
        <v>82</v>
      </c>
      <c r="C38" t="s">
        <v>84</v>
      </c>
      <c r="D38" t="s">
        <v>83</v>
      </c>
      <c r="E38">
        <v>90</v>
      </c>
      <c r="F38" t="s">
        <v>66</v>
      </c>
      <c r="G38">
        <v>3.5</v>
      </c>
      <c r="H38">
        <f t="shared" si="0"/>
        <v>315</v>
      </c>
    </row>
    <row r="39" spans="1:8" x14ac:dyDescent="0.2">
      <c r="A39" s="6">
        <v>45896</v>
      </c>
      <c r="B39" t="s">
        <v>85</v>
      </c>
      <c r="C39" t="s">
        <v>86</v>
      </c>
      <c r="D39" t="s">
        <v>87</v>
      </c>
      <c r="E39">
        <v>180</v>
      </c>
      <c r="F39" t="s">
        <v>66</v>
      </c>
      <c r="G39">
        <v>2.7</v>
      </c>
      <c r="H39">
        <f t="shared" si="0"/>
        <v>486.00000000000006</v>
      </c>
    </row>
    <row r="40" spans="1:8" x14ac:dyDescent="0.2">
      <c r="B40" t="s">
        <v>88</v>
      </c>
      <c r="C40" t="s">
        <v>89</v>
      </c>
      <c r="D40" t="s">
        <v>90</v>
      </c>
      <c r="E40">
        <v>891</v>
      </c>
      <c r="F40" t="s">
        <v>66</v>
      </c>
      <c r="G40">
        <v>10.3</v>
      </c>
      <c r="H40">
        <f t="shared" si="0"/>
        <v>9177.3000000000011</v>
      </c>
    </row>
    <row r="41" spans="1:8" x14ac:dyDescent="0.2">
      <c r="A41" s="5">
        <v>45897</v>
      </c>
      <c r="B41" t="s">
        <v>91</v>
      </c>
      <c r="C41" t="s">
        <v>92</v>
      </c>
      <c r="D41" t="s">
        <v>79</v>
      </c>
      <c r="E41">
        <v>270</v>
      </c>
      <c r="F41" t="s">
        <v>66</v>
      </c>
      <c r="G41">
        <v>2.7</v>
      </c>
      <c r="H41">
        <f t="shared" si="0"/>
        <v>729</v>
      </c>
    </row>
    <row r="42" spans="1:8" x14ac:dyDescent="0.2">
      <c r="F42" t="s">
        <v>66</v>
      </c>
      <c r="H42">
        <f t="shared" si="0"/>
        <v>0</v>
      </c>
    </row>
    <row r="43" spans="1:8" x14ac:dyDescent="0.2">
      <c r="F43" t="s">
        <v>66</v>
      </c>
      <c r="H43">
        <f t="shared" si="0"/>
        <v>0</v>
      </c>
    </row>
    <row r="44" spans="1:8" x14ac:dyDescent="0.2">
      <c r="F44" t="s">
        <v>66</v>
      </c>
      <c r="H44">
        <f t="shared" si="0"/>
        <v>0</v>
      </c>
    </row>
    <row r="45" spans="1:8" x14ac:dyDescent="0.2">
      <c r="F45" t="s">
        <v>66</v>
      </c>
      <c r="H45">
        <f t="shared" si="0"/>
        <v>0</v>
      </c>
    </row>
    <row r="46" spans="1:8" x14ac:dyDescent="0.2">
      <c r="F46" t="s">
        <v>66</v>
      </c>
      <c r="H46">
        <f t="shared" si="0"/>
        <v>0</v>
      </c>
    </row>
    <row r="47" spans="1:8" x14ac:dyDescent="0.2">
      <c r="F47" t="s">
        <v>66</v>
      </c>
      <c r="H47">
        <f t="shared" si="0"/>
        <v>0</v>
      </c>
    </row>
    <row r="48" spans="1:8" x14ac:dyDescent="0.2">
      <c r="F48" t="s">
        <v>66</v>
      </c>
      <c r="H48">
        <f t="shared" si="0"/>
        <v>0</v>
      </c>
    </row>
    <row r="49" spans="6:8" x14ac:dyDescent="0.2">
      <c r="F49" t="s">
        <v>66</v>
      </c>
      <c r="H49">
        <f t="shared" si="0"/>
        <v>0</v>
      </c>
    </row>
    <row r="50" spans="6:8" x14ac:dyDescent="0.2">
      <c r="F50" t="s">
        <v>66</v>
      </c>
      <c r="H50">
        <f t="shared" si="0"/>
        <v>0</v>
      </c>
    </row>
    <row r="51" spans="6:8" x14ac:dyDescent="0.2">
      <c r="F51" t="s">
        <v>66</v>
      </c>
      <c r="H51">
        <f t="shared" si="0"/>
        <v>0</v>
      </c>
    </row>
    <row r="52" spans="6:8" x14ac:dyDescent="0.2">
      <c r="F52" t="s">
        <v>66</v>
      </c>
      <c r="H52">
        <f t="shared" si="0"/>
        <v>0</v>
      </c>
    </row>
    <row r="53" spans="6:8" x14ac:dyDescent="0.2">
      <c r="F53" t="s">
        <v>66</v>
      </c>
      <c r="H53">
        <f t="shared" si="0"/>
        <v>0</v>
      </c>
    </row>
    <row r="54" spans="6:8" x14ac:dyDescent="0.2">
      <c r="F54" t="s">
        <v>66</v>
      </c>
      <c r="H54">
        <f t="shared" si="0"/>
        <v>0</v>
      </c>
    </row>
    <row r="55" spans="6:8" x14ac:dyDescent="0.2">
      <c r="F55" t="s">
        <v>66</v>
      </c>
      <c r="H55">
        <f t="shared" si="0"/>
        <v>0</v>
      </c>
    </row>
    <row r="56" spans="6:8" x14ac:dyDescent="0.2">
      <c r="F56" t="s">
        <v>66</v>
      </c>
      <c r="H56">
        <f t="shared" si="0"/>
        <v>0</v>
      </c>
    </row>
    <row r="57" spans="6:8" x14ac:dyDescent="0.2">
      <c r="F57" t="s">
        <v>66</v>
      </c>
      <c r="H57">
        <f t="shared" si="0"/>
        <v>0</v>
      </c>
    </row>
    <row r="58" spans="6:8" x14ac:dyDescent="0.2">
      <c r="F58" t="s">
        <v>66</v>
      </c>
      <c r="H58">
        <f t="shared" si="0"/>
        <v>0</v>
      </c>
    </row>
    <row r="59" spans="6:8" x14ac:dyDescent="0.2">
      <c r="F59" t="s">
        <v>66</v>
      </c>
      <c r="H59">
        <f t="shared" si="0"/>
        <v>0</v>
      </c>
    </row>
    <row r="60" spans="6:8" x14ac:dyDescent="0.2">
      <c r="F60" t="s">
        <v>66</v>
      </c>
      <c r="H60">
        <f t="shared" si="0"/>
        <v>0</v>
      </c>
    </row>
    <row r="61" spans="6:8" x14ac:dyDescent="0.2">
      <c r="F61" t="s">
        <v>66</v>
      </c>
      <c r="H61">
        <f t="shared" si="0"/>
        <v>0</v>
      </c>
    </row>
    <row r="62" spans="6:8" x14ac:dyDescent="0.2">
      <c r="F62" t="s">
        <v>66</v>
      </c>
      <c r="H62">
        <f t="shared" si="0"/>
        <v>0</v>
      </c>
    </row>
    <row r="63" spans="6:8" x14ac:dyDescent="0.2">
      <c r="F63" t="s">
        <v>66</v>
      </c>
      <c r="H63">
        <f t="shared" si="0"/>
        <v>0</v>
      </c>
    </row>
    <row r="64" spans="6:8" x14ac:dyDescent="0.2">
      <c r="F64" t="s">
        <v>66</v>
      </c>
      <c r="H64">
        <f t="shared" si="0"/>
        <v>0</v>
      </c>
    </row>
    <row r="65" spans="6:8" x14ac:dyDescent="0.2">
      <c r="F65" t="s">
        <v>66</v>
      </c>
      <c r="H65">
        <f t="shared" si="0"/>
        <v>0</v>
      </c>
    </row>
    <row r="66" spans="6:8" x14ac:dyDescent="0.2">
      <c r="F66" t="s">
        <v>66</v>
      </c>
      <c r="H66">
        <f t="shared" si="0"/>
        <v>0</v>
      </c>
    </row>
    <row r="67" spans="6:8" x14ac:dyDescent="0.2">
      <c r="F67" t="s">
        <v>66</v>
      </c>
      <c r="H67">
        <f t="shared" ref="H67:H101" si="3">E67*G67</f>
        <v>0</v>
      </c>
    </row>
    <row r="68" spans="6:8" x14ac:dyDescent="0.2">
      <c r="F68" t="s">
        <v>66</v>
      </c>
      <c r="H68">
        <f t="shared" si="3"/>
        <v>0</v>
      </c>
    </row>
    <row r="69" spans="6:8" x14ac:dyDescent="0.2">
      <c r="F69" t="s">
        <v>66</v>
      </c>
      <c r="H69">
        <f t="shared" si="3"/>
        <v>0</v>
      </c>
    </row>
    <row r="70" spans="6:8" x14ac:dyDescent="0.2">
      <c r="F70" t="s">
        <v>66</v>
      </c>
      <c r="H70">
        <f t="shared" si="3"/>
        <v>0</v>
      </c>
    </row>
    <row r="71" spans="6:8" x14ac:dyDescent="0.2">
      <c r="F71" t="s">
        <v>66</v>
      </c>
      <c r="H71">
        <f t="shared" si="3"/>
        <v>0</v>
      </c>
    </row>
    <row r="72" spans="6:8" x14ac:dyDescent="0.2">
      <c r="F72" t="s">
        <v>66</v>
      </c>
      <c r="H72">
        <f t="shared" si="3"/>
        <v>0</v>
      </c>
    </row>
    <row r="73" spans="6:8" x14ac:dyDescent="0.2">
      <c r="F73" t="s">
        <v>66</v>
      </c>
      <c r="H73">
        <f t="shared" si="3"/>
        <v>0</v>
      </c>
    </row>
    <row r="74" spans="6:8" x14ac:dyDescent="0.2">
      <c r="F74" t="s">
        <v>66</v>
      </c>
      <c r="H74">
        <f t="shared" si="3"/>
        <v>0</v>
      </c>
    </row>
    <row r="75" spans="6:8" x14ac:dyDescent="0.2">
      <c r="F75" t="s">
        <v>66</v>
      </c>
      <c r="H75">
        <f t="shared" si="3"/>
        <v>0</v>
      </c>
    </row>
    <row r="76" spans="6:8" x14ac:dyDescent="0.2">
      <c r="F76" t="s">
        <v>66</v>
      </c>
      <c r="H76">
        <f t="shared" si="3"/>
        <v>0</v>
      </c>
    </row>
    <row r="77" spans="6:8" x14ac:dyDescent="0.2">
      <c r="F77" t="s">
        <v>66</v>
      </c>
      <c r="H77">
        <f t="shared" si="3"/>
        <v>0</v>
      </c>
    </row>
    <row r="78" spans="6:8" x14ac:dyDescent="0.2">
      <c r="F78" t="s">
        <v>66</v>
      </c>
      <c r="H78">
        <f t="shared" si="3"/>
        <v>0</v>
      </c>
    </row>
    <row r="79" spans="6:8" x14ac:dyDescent="0.2">
      <c r="F79" t="s">
        <v>66</v>
      </c>
      <c r="H79">
        <f t="shared" si="3"/>
        <v>0</v>
      </c>
    </row>
    <row r="80" spans="6:8" x14ac:dyDescent="0.2">
      <c r="F80" t="s">
        <v>66</v>
      </c>
      <c r="H80">
        <f t="shared" si="3"/>
        <v>0</v>
      </c>
    </row>
    <row r="81" spans="6:8" x14ac:dyDescent="0.2">
      <c r="F81" t="s">
        <v>66</v>
      </c>
      <c r="H81">
        <f t="shared" si="3"/>
        <v>0</v>
      </c>
    </row>
    <row r="82" spans="6:8" x14ac:dyDescent="0.2">
      <c r="F82" t="s">
        <v>66</v>
      </c>
      <c r="H82">
        <f t="shared" si="3"/>
        <v>0</v>
      </c>
    </row>
    <row r="83" spans="6:8" x14ac:dyDescent="0.2">
      <c r="F83" t="s">
        <v>66</v>
      </c>
      <c r="H83">
        <f t="shared" si="3"/>
        <v>0</v>
      </c>
    </row>
    <row r="84" spans="6:8" x14ac:dyDescent="0.2">
      <c r="F84" t="s">
        <v>66</v>
      </c>
      <c r="H84">
        <f t="shared" si="3"/>
        <v>0</v>
      </c>
    </row>
    <row r="85" spans="6:8" x14ac:dyDescent="0.2">
      <c r="F85" t="s">
        <v>66</v>
      </c>
      <c r="H85">
        <f t="shared" si="3"/>
        <v>0</v>
      </c>
    </row>
    <row r="86" spans="6:8" x14ac:dyDescent="0.2">
      <c r="F86" t="s">
        <v>66</v>
      </c>
      <c r="H86">
        <f t="shared" si="3"/>
        <v>0</v>
      </c>
    </row>
    <row r="87" spans="6:8" x14ac:dyDescent="0.2">
      <c r="F87" t="s">
        <v>66</v>
      </c>
      <c r="H87">
        <f t="shared" si="3"/>
        <v>0</v>
      </c>
    </row>
    <row r="88" spans="6:8" x14ac:dyDescent="0.2">
      <c r="F88" t="s">
        <v>66</v>
      </c>
      <c r="H88">
        <f t="shared" si="3"/>
        <v>0</v>
      </c>
    </row>
    <row r="89" spans="6:8" x14ac:dyDescent="0.2">
      <c r="F89" t="s">
        <v>66</v>
      </c>
      <c r="H89">
        <f t="shared" si="3"/>
        <v>0</v>
      </c>
    </row>
    <row r="90" spans="6:8" x14ac:dyDescent="0.2">
      <c r="F90" t="s">
        <v>66</v>
      </c>
      <c r="H90">
        <f t="shared" si="3"/>
        <v>0</v>
      </c>
    </row>
    <row r="91" spans="6:8" x14ac:dyDescent="0.2">
      <c r="F91" t="s">
        <v>66</v>
      </c>
      <c r="H91">
        <f t="shared" si="3"/>
        <v>0</v>
      </c>
    </row>
    <row r="92" spans="6:8" x14ac:dyDescent="0.2">
      <c r="F92" t="s">
        <v>66</v>
      </c>
      <c r="H92">
        <f t="shared" si="3"/>
        <v>0</v>
      </c>
    </row>
    <row r="93" spans="6:8" x14ac:dyDescent="0.2">
      <c r="F93" t="s">
        <v>66</v>
      </c>
      <c r="H93">
        <f t="shared" si="3"/>
        <v>0</v>
      </c>
    </row>
    <row r="94" spans="6:8" x14ac:dyDescent="0.2">
      <c r="F94" t="s">
        <v>66</v>
      </c>
      <c r="H94">
        <f t="shared" si="3"/>
        <v>0</v>
      </c>
    </row>
    <row r="95" spans="6:8" x14ac:dyDescent="0.2">
      <c r="F95" t="s">
        <v>66</v>
      </c>
      <c r="H95">
        <f t="shared" si="3"/>
        <v>0</v>
      </c>
    </row>
    <row r="96" spans="6:8" x14ac:dyDescent="0.2">
      <c r="F96" t="s">
        <v>66</v>
      </c>
      <c r="H96">
        <f t="shared" si="3"/>
        <v>0</v>
      </c>
    </row>
    <row r="97" spans="6:8" x14ac:dyDescent="0.2">
      <c r="F97" t="s">
        <v>66</v>
      </c>
      <c r="H97">
        <f t="shared" si="3"/>
        <v>0</v>
      </c>
    </row>
    <row r="98" spans="6:8" x14ac:dyDescent="0.2">
      <c r="F98" t="s">
        <v>66</v>
      </c>
      <c r="H98">
        <f t="shared" si="3"/>
        <v>0</v>
      </c>
    </row>
    <row r="99" spans="6:8" x14ac:dyDescent="0.2">
      <c r="F99" t="s">
        <v>66</v>
      </c>
      <c r="H99">
        <f t="shared" si="3"/>
        <v>0</v>
      </c>
    </row>
    <row r="100" spans="6:8" x14ac:dyDescent="0.2">
      <c r="F100" t="s">
        <v>66</v>
      </c>
      <c r="H100">
        <f t="shared" si="3"/>
        <v>0</v>
      </c>
    </row>
    <row r="101" spans="6:8" x14ac:dyDescent="0.2">
      <c r="F101" t="s">
        <v>66</v>
      </c>
      <c r="H101">
        <f t="shared" si="3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</dc:creator>
  <cp:lastModifiedBy>果 李</cp:lastModifiedBy>
  <dcterms:created xsi:type="dcterms:W3CDTF">2015-06-05T18:19:34Z</dcterms:created>
  <dcterms:modified xsi:type="dcterms:W3CDTF">2025-08-31T03:53:58Z</dcterms:modified>
</cp:coreProperties>
</file>